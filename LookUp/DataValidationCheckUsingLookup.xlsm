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idhya\training\excel\Assignment-4\Assignment 4\"/>
    </mc:Choice>
  </mc:AlternateContent>
  <xr:revisionPtr revIDLastSave="0" documentId="8_{D79F2C4D-9120-495C-B8FD-B24DEF65A9EA}" xr6:coauthVersionLast="47" xr6:coauthVersionMax="47" xr10:uidLastSave="{00000000-0000-0000-0000-000000000000}"/>
  <bookViews>
    <workbookView xWindow="-108" yWindow="-108" windowWidth="23256" windowHeight="12576" xr2:uid="{01F53069-50CF-46B5-A62A-B991B0C172E2}"/>
  </bookViews>
  <sheets>
    <sheet name="DataValidationCheck" sheetId="1" r:id="rId1"/>
    <sheet name="Original data" sheetId="4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6" i="1" l="1"/>
  <c r="K15" i="1"/>
  <c r="K11" i="1"/>
  <c r="K10" i="1"/>
  <c r="E2" i="1"/>
  <c r="E24" i="1"/>
  <c r="E25" i="1"/>
  <c r="E2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</calcChain>
</file>

<file path=xl/sharedStrings.xml><?xml version="1.0" encoding="utf-8"?>
<sst xmlns="http://schemas.openxmlformats.org/spreadsheetml/2006/main" count="77" uniqueCount="24">
  <si>
    <t>Code</t>
  </si>
  <si>
    <t>Reason</t>
  </si>
  <si>
    <t>System No.</t>
  </si>
  <si>
    <t>41-H</t>
  </si>
  <si>
    <t>73-U</t>
  </si>
  <si>
    <t>75-J</t>
  </si>
  <si>
    <t>8-R</t>
  </si>
  <si>
    <t>26-Y</t>
  </si>
  <si>
    <t>13-P</t>
  </si>
  <si>
    <t>Reference</t>
  </si>
  <si>
    <t>System reset required</t>
  </si>
  <si>
    <t>Date &amp; time</t>
  </si>
  <si>
    <t>Hardware malfunction</t>
  </si>
  <si>
    <t>Software malfunction</t>
  </si>
  <si>
    <t>Malfunction length (minutes)</t>
  </si>
  <si>
    <t>Total time of malfunctions:</t>
  </si>
  <si>
    <t>minutes</t>
  </si>
  <si>
    <t>Code:</t>
  </si>
  <si>
    <t>Total malfunction time for this code:</t>
  </si>
  <si>
    <t>Total number of malfunctions:</t>
  </si>
  <si>
    <t>Total number of malfunctions with this code:</t>
  </si>
  <si>
    <t>Make sure you don't put anything in the two rows below the table!</t>
  </si>
  <si>
    <t>IMPORTANT: Don't change the location of any</t>
  </si>
  <si>
    <t>of the cells in columns A through 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</si>
</sst>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/>
    <xf numFmtId="0" fontId="2" fillId="0" borderId="0" xfId="0" applyFont="1" applyAlignment="1"/>
    <xf numFmtId="0" fontId="0" fillId="0" borderId="0" xfId="0" applyFill="1" applyBorder="1" applyAlignment="1">
      <alignment horizontal="right"/>
    </xf>
    <xf numFmtId="0" fontId="0" fillId="2" borderId="2" xfId="0" applyFill="1" applyBorder="1"/>
    <xf numFmtId="0" fontId="0" fillId="3" borderId="2" xfId="0" applyNumberFormat="1" applyFill="1" applyBorder="1"/>
    <xf numFmtId="0" fontId="0" fillId="0" borderId="1" xfId="0" applyFont="1" applyFill="1" applyBorder="1"/>
    <xf numFmtId="0" fontId="0" fillId="0" borderId="3" xfId="0" applyBorder="1"/>
    <xf numFmtId="0" fontId="0" fillId="0" borderId="4" xfId="0" applyBorder="1"/>
    <xf numFmtId="14" fontId="0" fillId="3" borderId="5" xfId="0" applyNumberFormat="1" applyFill="1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0" xfId="0" applyFill="1" applyBorder="1" applyAlignment="1">
      <alignment horizontal="right"/>
    </xf>
    <xf numFmtId="0" fontId="0" fillId="2" borderId="11" xfId="0" applyFill="1" applyBorder="1"/>
    <xf numFmtId="0" fontId="0" fillId="0" borderId="12" xfId="0" applyBorder="1"/>
    <xf numFmtId="164" fontId="0" fillId="0" borderId="0" xfId="0" applyNumberFormat="1"/>
  </cellXfs>
  <cellStyles count="1">
    <cellStyle name="Normal" xfId="0" builtinId="0"/>
  </cellStyles>
  <dxfs count="2">
    <dxf>
      <numFmt numFmtId="164" formatCode="[$-409]m/d/yy\ h:mm\ AM/PM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FFFF9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441960</xdr:colOff>
          <xdr:row>2</xdr:row>
          <xdr:rowOff>83820</xdr:rowOff>
        </xdr:from>
        <xdr:to>
          <xdr:col>11</xdr:col>
          <xdr:colOff>53340</xdr:colOff>
          <xdr:row>4</xdr:row>
          <xdr:rowOff>175260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F3F9AB-8999-4BAB-882B-264EFAAF48FE}" name="Table1" displayName="Table1" ref="A1:E26" totalsRowShown="0" headerRowDxfId="1">
  <autoFilter ref="A1:E26" xr:uid="{7CD97F84-A92A-4452-9E3B-34AE0C8B85A8}"/>
  <tableColumns count="5">
    <tableColumn id="1" xr3:uid="{41B3D75F-755A-4ADC-9F35-5727D042D11E}" name="System No."/>
    <tableColumn id="2" xr3:uid="{C1DE95CF-1C2D-429D-88B6-3F758E7A9575}" name="Date &amp; time" dataDxfId="0"/>
    <tableColumn id="3" xr3:uid="{3BCBC85E-6FC9-4E2B-A7DE-6A270B9EE50B}" name="Malfunction length (minutes)"/>
    <tableColumn id="4" xr3:uid="{9CEF1CB0-AA02-49B5-B6F3-6004107136A3}" name="Code"/>
    <tableColumn id="5" xr3:uid="{CF783020-65AD-4782-8E47-526CB5EF62D0}" name="Reason">
      <calculatedColumnFormula>IF(D2=$G$4,$H$4, IF(D2=$G$5,$H$5, IF(D2=$G$6,$H$6)))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5A07B-EA4B-4253-8950-965D39811C46}">
  <sheetPr codeName="Sheet1"/>
  <dimension ref="A1:L29"/>
  <sheetViews>
    <sheetView tabSelected="1" zoomScale="130" zoomScaleNormal="130" workbookViewId="0">
      <selection activeCell="E27" sqref="B27:E27"/>
    </sheetView>
  </sheetViews>
  <sheetFormatPr defaultRowHeight="14.4" x14ac:dyDescent="0.3"/>
  <cols>
    <col min="1" max="1" width="11.77734375" customWidth="1"/>
    <col min="2" max="2" width="15.44140625" bestFit="1" customWidth="1"/>
    <col min="3" max="3" width="27.21875" customWidth="1"/>
    <col min="5" max="5" width="21.88671875" customWidth="1"/>
    <col min="10" max="10" width="9.6640625" bestFit="1" customWidth="1"/>
    <col min="11" max="11" width="9.21875" bestFit="1" customWidth="1"/>
    <col min="13" max="13" width="18.5546875" bestFit="1" customWidth="1"/>
  </cols>
  <sheetData>
    <row r="1" spans="1:12" x14ac:dyDescent="0.3">
      <c r="A1" s="1" t="s">
        <v>2</v>
      </c>
      <c r="B1" s="1" t="s">
        <v>11</v>
      </c>
      <c r="C1" s="1" t="s">
        <v>14</v>
      </c>
      <c r="D1" s="1" t="s">
        <v>0</v>
      </c>
      <c r="E1" s="1" t="s">
        <v>1</v>
      </c>
      <c r="F1" s="1"/>
      <c r="G1" s="1"/>
      <c r="J1" s="7"/>
    </row>
    <row r="2" spans="1:12" x14ac:dyDescent="0.3">
      <c r="A2" t="s">
        <v>3</v>
      </c>
      <c r="B2" s="21">
        <v>44013.610607480805</v>
      </c>
      <c r="C2">
        <v>31</v>
      </c>
      <c r="D2">
        <v>3</v>
      </c>
      <c r="E2" t="str">
        <f>IF(D2=$G$4,$H$4, IF(D2=$G$5,$H$5, IF(D2=$G$6,$H$6)))</f>
        <v>Software malfunction</v>
      </c>
      <c r="G2" s="3" t="s">
        <v>9</v>
      </c>
      <c r="H2" s="2"/>
    </row>
    <row r="3" spans="1:12" x14ac:dyDescent="0.3">
      <c r="A3" t="s">
        <v>4</v>
      </c>
      <c r="B3" s="21">
        <v>44013.697030848234</v>
      </c>
      <c r="C3">
        <v>28</v>
      </c>
      <c r="D3">
        <v>2</v>
      </c>
      <c r="E3" t="str">
        <f t="shared" ref="E3:E26" si="0">IF(D3=$G$4,$H$4, IF(D3=$G$5,$H$5, IF(D3=$G$6,$H$6)))</f>
        <v>Hardware malfunction</v>
      </c>
      <c r="G3" s="1" t="s">
        <v>0</v>
      </c>
      <c r="H3" s="1" t="s">
        <v>1</v>
      </c>
    </row>
    <row r="4" spans="1:12" x14ac:dyDescent="0.3">
      <c r="A4" t="s">
        <v>5</v>
      </c>
      <c r="B4" s="21">
        <v>44014.727539334934</v>
      </c>
      <c r="C4">
        <v>36</v>
      </c>
      <c r="D4">
        <v>3</v>
      </c>
      <c r="E4" t="str">
        <f t="shared" si="0"/>
        <v>Software malfunction</v>
      </c>
      <c r="G4">
        <v>1</v>
      </c>
      <c r="H4" t="s">
        <v>10</v>
      </c>
    </row>
    <row r="5" spans="1:12" x14ac:dyDescent="0.3">
      <c r="A5" t="s">
        <v>8</v>
      </c>
      <c r="B5" s="21">
        <v>44015.750249918048</v>
      </c>
      <c r="C5">
        <v>71</v>
      </c>
      <c r="D5">
        <v>2</v>
      </c>
      <c r="E5" t="str">
        <f t="shared" si="0"/>
        <v>Hardware malfunction</v>
      </c>
      <c r="G5">
        <v>2</v>
      </c>
      <c r="H5" t="s">
        <v>12</v>
      </c>
    </row>
    <row r="6" spans="1:12" x14ac:dyDescent="0.3">
      <c r="A6" t="s">
        <v>6</v>
      </c>
      <c r="B6" s="21">
        <v>44016.424779916619</v>
      </c>
      <c r="C6">
        <v>23</v>
      </c>
      <c r="D6">
        <v>3</v>
      </c>
      <c r="E6" t="str">
        <f t="shared" si="0"/>
        <v>Software malfunction</v>
      </c>
      <c r="G6">
        <v>3</v>
      </c>
      <c r="H6" t="s">
        <v>13</v>
      </c>
    </row>
    <row r="7" spans="1:12" x14ac:dyDescent="0.3">
      <c r="A7" t="s">
        <v>7</v>
      </c>
      <c r="B7" s="21">
        <v>44018.130324607344</v>
      </c>
      <c r="C7">
        <v>46</v>
      </c>
      <c r="D7">
        <v>3</v>
      </c>
      <c r="E7" t="str">
        <f t="shared" si="0"/>
        <v>Software malfunction</v>
      </c>
    </row>
    <row r="8" spans="1:12" ht="15" thickBot="1" x14ac:dyDescent="0.35">
      <c r="A8" t="s">
        <v>6</v>
      </c>
      <c r="B8" s="21">
        <v>44018.351650385477</v>
      </c>
      <c r="C8">
        <v>35</v>
      </c>
      <c r="D8">
        <v>3</v>
      </c>
      <c r="E8" t="str">
        <f t="shared" si="0"/>
        <v>Software malfunction</v>
      </c>
    </row>
    <row r="9" spans="1:12" x14ac:dyDescent="0.3">
      <c r="A9" t="s">
        <v>4</v>
      </c>
      <c r="B9" s="21">
        <v>44019.30126058578</v>
      </c>
      <c r="C9">
        <v>18</v>
      </c>
      <c r="D9">
        <v>1</v>
      </c>
      <c r="E9" t="str">
        <f t="shared" si="0"/>
        <v>System reset required</v>
      </c>
      <c r="G9" s="8"/>
      <c r="H9" s="9"/>
      <c r="I9" s="9"/>
      <c r="J9" s="9" t="s">
        <v>2</v>
      </c>
      <c r="K9" s="10" t="s">
        <v>4</v>
      </c>
      <c r="L9" s="11"/>
    </row>
    <row r="10" spans="1:12" x14ac:dyDescent="0.3">
      <c r="A10" t="s">
        <v>7</v>
      </c>
      <c r="B10" s="21">
        <v>44023.141985118869</v>
      </c>
      <c r="C10">
        <v>9</v>
      </c>
      <c r="D10">
        <v>2</v>
      </c>
      <c r="E10" t="str">
        <f t="shared" si="0"/>
        <v>Hardware malfunction</v>
      </c>
      <c r="G10" s="12"/>
      <c r="H10" s="13"/>
      <c r="I10" s="13"/>
      <c r="J10" s="14" t="s">
        <v>19</v>
      </c>
      <c r="K10" s="5">
        <f>COUNTIF(A1:A26,K9)</f>
        <v>4</v>
      </c>
      <c r="L10" s="15"/>
    </row>
    <row r="11" spans="1:12" x14ac:dyDescent="0.3">
      <c r="A11" t="s">
        <v>8</v>
      </c>
      <c r="B11" s="21">
        <v>44024.283503600222</v>
      </c>
      <c r="C11">
        <v>41</v>
      </c>
      <c r="D11">
        <v>3</v>
      </c>
      <c r="E11" t="str">
        <f t="shared" si="0"/>
        <v>Software malfunction</v>
      </c>
      <c r="G11" s="12"/>
      <c r="H11" s="13"/>
      <c r="I11" s="13"/>
      <c r="J11" s="14" t="s">
        <v>15</v>
      </c>
      <c r="K11" s="5">
        <f>SUMIF(A1:A26,K9,C1:C26)</f>
        <v>95</v>
      </c>
      <c r="L11" s="15" t="s">
        <v>16</v>
      </c>
    </row>
    <row r="12" spans="1:12" x14ac:dyDescent="0.3">
      <c r="A12" t="s">
        <v>5</v>
      </c>
      <c r="B12" s="21">
        <v>44025.812112474014</v>
      </c>
      <c r="C12">
        <v>2</v>
      </c>
      <c r="D12">
        <v>1</v>
      </c>
      <c r="E12" t="str">
        <f t="shared" si="0"/>
        <v>System reset required</v>
      </c>
      <c r="G12" s="12"/>
      <c r="H12" s="13"/>
      <c r="I12" s="13"/>
      <c r="J12" s="13"/>
      <c r="K12" s="13"/>
      <c r="L12" s="15"/>
    </row>
    <row r="13" spans="1:12" x14ac:dyDescent="0.3">
      <c r="A13" t="s">
        <v>4</v>
      </c>
      <c r="B13" s="21">
        <v>44025.816915379226</v>
      </c>
      <c r="C13">
        <v>15</v>
      </c>
      <c r="D13">
        <v>1</v>
      </c>
      <c r="E13" t="str">
        <f t="shared" si="0"/>
        <v>System reset required</v>
      </c>
      <c r="G13" s="12"/>
      <c r="H13" s="13"/>
      <c r="I13" s="13"/>
      <c r="J13" s="13"/>
      <c r="K13" s="13"/>
      <c r="L13" s="15"/>
    </row>
    <row r="14" spans="1:12" x14ac:dyDescent="0.3">
      <c r="A14" t="s">
        <v>3</v>
      </c>
      <c r="B14" s="21">
        <v>44025.993782231424</v>
      </c>
      <c r="C14">
        <v>6</v>
      </c>
      <c r="D14">
        <v>1</v>
      </c>
      <c r="E14" t="str">
        <f t="shared" si="0"/>
        <v>System reset required</v>
      </c>
      <c r="G14" s="12"/>
      <c r="H14" s="13"/>
      <c r="I14" s="13"/>
      <c r="J14" s="14" t="s">
        <v>17</v>
      </c>
      <c r="K14" s="6">
        <v>3</v>
      </c>
      <c r="L14" s="15"/>
    </row>
    <row r="15" spans="1:12" x14ac:dyDescent="0.3">
      <c r="A15" t="s">
        <v>5</v>
      </c>
      <c r="B15" s="21">
        <v>44026.249139125532</v>
      </c>
      <c r="C15">
        <v>22</v>
      </c>
      <c r="D15">
        <v>2</v>
      </c>
      <c r="E15" t="str">
        <f t="shared" si="0"/>
        <v>Hardware malfunction</v>
      </c>
      <c r="G15" s="12"/>
      <c r="H15" s="13"/>
      <c r="I15" s="13"/>
      <c r="J15" s="4" t="s">
        <v>20</v>
      </c>
      <c r="K15" s="5">
        <f>COUNTIF(D1:D26,K14)</f>
        <v>11</v>
      </c>
      <c r="L15" s="15"/>
    </row>
    <row r="16" spans="1:12" ht="15" thickBot="1" x14ac:dyDescent="0.35">
      <c r="A16" t="s">
        <v>6</v>
      </c>
      <c r="B16" s="21">
        <v>44026.345087570502</v>
      </c>
      <c r="C16">
        <v>15</v>
      </c>
      <c r="D16">
        <v>3</v>
      </c>
      <c r="E16" t="str">
        <f t="shared" si="0"/>
        <v>Software malfunction</v>
      </c>
      <c r="G16" s="16"/>
      <c r="H16" s="17"/>
      <c r="I16" s="17"/>
      <c r="J16" s="18" t="s">
        <v>18</v>
      </c>
      <c r="K16" s="19">
        <f>SUMIF(D1:D26,K14,C1:C26)</f>
        <v>357</v>
      </c>
      <c r="L16" s="20" t="s">
        <v>16</v>
      </c>
    </row>
    <row r="17" spans="1:7" x14ac:dyDescent="0.3">
      <c r="A17" t="s">
        <v>6</v>
      </c>
      <c r="B17" s="21">
        <v>44029.07606533591</v>
      </c>
      <c r="C17">
        <v>26</v>
      </c>
      <c r="D17">
        <v>2</v>
      </c>
      <c r="E17" t="str">
        <f t="shared" si="0"/>
        <v>Hardware malfunction</v>
      </c>
    </row>
    <row r="18" spans="1:7" x14ac:dyDescent="0.3">
      <c r="A18" t="s">
        <v>5</v>
      </c>
      <c r="B18" s="21">
        <v>44033.19548663871</v>
      </c>
      <c r="C18">
        <v>24</v>
      </c>
      <c r="D18">
        <v>3</v>
      </c>
      <c r="E18" t="str">
        <f t="shared" si="0"/>
        <v>Software malfunction</v>
      </c>
    </row>
    <row r="19" spans="1:7" x14ac:dyDescent="0.3">
      <c r="A19" t="s">
        <v>4</v>
      </c>
      <c r="B19" s="21">
        <v>44033.281651316393</v>
      </c>
      <c r="C19">
        <v>34</v>
      </c>
      <c r="D19">
        <v>3</v>
      </c>
      <c r="E19" t="str">
        <f t="shared" si="0"/>
        <v>Software malfunction</v>
      </c>
      <c r="G19" t="s">
        <v>22</v>
      </c>
    </row>
    <row r="20" spans="1:7" x14ac:dyDescent="0.3">
      <c r="A20" t="s">
        <v>3</v>
      </c>
      <c r="B20" s="21">
        <v>44033.9985449507</v>
      </c>
      <c r="C20">
        <v>35</v>
      </c>
      <c r="D20">
        <v>2</v>
      </c>
      <c r="E20" t="str">
        <f t="shared" si="0"/>
        <v>Hardware malfunction</v>
      </c>
      <c r="G20" t="s">
        <v>23</v>
      </c>
    </row>
    <row r="21" spans="1:7" x14ac:dyDescent="0.3">
      <c r="A21" t="s">
        <v>7</v>
      </c>
      <c r="B21" s="21">
        <v>44035.263713973683</v>
      </c>
      <c r="C21">
        <v>48</v>
      </c>
      <c r="D21">
        <v>3</v>
      </c>
      <c r="E21" t="str">
        <f t="shared" si="0"/>
        <v>Software malfunction</v>
      </c>
    </row>
    <row r="22" spans="1:7" x14ac:dyDescent="0.3">
      <c r="A22" t="s">
        <v>5</v>
      </c>
      <c r="B22" s="21">
        <v>44036.248151746855</v>
      </c>
      <c r="C22">
        <v>24</v>
      </c>
      <c r="D22">
        <v>2</v>
      </c>
      <c r="E22" t="str">
        <f t="shared" si="0"/>
        <v>Hardware malfunction</v>
      </c>
    </row>
    <row r="23" spans="1:7" x14ac:dyDescent="0.3">
      <c r="A23" t="s">
        <v>3</v>
      </c>
      <c r="B23" s="21">
        <v>44040.239234248307</v>
      </c>
      <c r="C23">
        <v>24</v>
      </c>
      <c r="D23">
        <v>3</v>
      </c>
      <c r="E23" t="str">
        <f t="shared" si="0"/>
        <v>Software malfunction</v>
      </c>
    </row>
    <row r="24" spans="1:7" x14ac:dyDescent="0.3">
      <c r="A24" t="s">
        <v>3</v>
      </c>
      <c r="B24" s="21">
        <v>44040.777621756286</v>
      </c>
      <c r="C24">
        <v>23</v>
      </c>
      <c r="D24">
        <v>2</v>
      </c>
      <c r="E24" t="str">
        <f>IF(D24=$G$4,$H$4, IF(D24=$G$5,$H$5, IF(D24=$G$6,$H$6)))</f>
        <v>Hardware malfunction</v>
      </c>
    </row>
    <row r="25" spans="1:7" x14ac:dyDescent="0.3">
      <c r="A25" t="s">
        <v>8</v>
      </c>
      <c r="B25" s="21">
        <v>44040.860110426351</v>
      </c>
      <c r="C25">
        <v>13</v>
      </c>
      <c r="D25">
        <v>2</v>
      </c>
      <c r="E25" t="str">
        <f t="shared" si="0"/>
        <v>Hardware malfunction</v>
      </c>
    </row>
    <row r="26" spans="1:7" x14ac:dyDescent="0.3">
      <c r="A26" t="s">
        <v>5</v>
      </c>
      <c r="B26" s="21">
        <v>44042.202777777777</v>
      </c>
      <c r="C26">
        <v>32</v>
      </c>
      <c r="D26">
        <v>1</v>
      </c>
      <c r="E26" t="str">
        <f t="shared" si="0"/>
        <v>System reset required</v>
      </c>
    </row>
    <row r="27" spans="1:7" x14ac:dyDescent="0.3">
      <c r="B27" s="21"/>
    </row>
    <row r="29" spans="1:7" x14ac:dyDescent="0.3">
      <c r="B29" t="s">
        <v>21</v>
      </c>
    </row>
  </sheetData>
  <sortState xmlns:xlrd2="http://schemas.microsoft.com/office/spreadsheetml/2017/richdata2" ref="B4:B26">
    <sortCondition ref="B4"/>
  </sortState>
  <dataValidations count="2">
    <dataValidation type="list" allowBlank="1" showInputMessage="1" showErrorMessage="1" sqref="K9" xr:uid="{70AFC00E-2291-4D46-8726-F10590D175E6}">
      <formula1>$A$1:$A$26</formula1>
    </dataValidation>
    <dataValidation type="list" allowBlank="1" showInputMessage="1" showErrorMessage="1" sqref="K14" xr:uid="{78BAA69D-8DF7-46F2-80F6-0087AE50ED07}">
      <formula1>$D$1:$D$26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Grade">
                <anchor moveWithCells="1" sizeWithCells="1">
                  <from>
                    <xdr:col>9</xdr:col>
                    <xdr:colOff>441960</xdr:colOff>
                    <xdr:row>2</xdr:row>
                    <xdr:rowOff>83820</xdr:rowOff>
                  </from>
                  <to>
                    <xdr:col>11</xdr:col>
                    <xdr:colOff>53340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DCD03-D2A0-43B8-AC4F-71FCBE170105}">
  <sheetPr codeName="Sheet3"/>
  <dimension ref="A1:D26"/>
  <sheetViews>
    <sheetView workbookViewId="0">
      <selection activeCell="C2" sqref="C2"/>
    </sheetView>
  </sheetViews>
  <sheetFormatPr defaultRowHeight="14.4" x14ac:dyDescent="0.3"/>
  <cols>
    <col min="1" max="1" width="11.109375" customWidth="1"/>
    <col min="2" max="2" width="20.21875" bestFit="1" customWidth="1"/>
    <col min="3" max="3" width="25.5546875" customWidth="1"/>
  </cols>
  <sheetData>
    <row r="1" spans="1:4" x14ac:dyDescent="0.3">
      <c r="A1" t="s">
        <v>2</v>
      </c>
      <c r="B1" t="s">
        <v>11</v>
      </c>
      <c r="C1" t="s">
        <v>14</v>
      </c>
      <c r="D1" t="s">
        <v>0</v>
      </c>
    </row>
    <row r="2" spans="1:4" x14ac:dyDescent="0.3">
      <c r="A2" t="s">
        <v>3</v>
      </c>
      <c r="B2" s="21">
        <v>44013.610607480805</v>
      </c>
      <c r="C2">
        <v>31</v>
      </c>
      <c r="D2">
        <v>3</v>
      </c>
    </row>
    <row r="3" spans="1:4" x14ac:dyDescent="0.3">
      <c r="A3" t="s">
        <v>4</v>
      </c>
      <c r="B3" s="21">
        <v>44013.697030848234</v>
      </c>
      <c r="C3">
        <v>28</v>
      </c>
      <c r="D3">
        <v>2</v>
      </c>
    </row>
    <row r="4" spans="1:4" x14ac:dyDescent="0.3">
      <c r="A4" t="s">
        <v>5</v>
      </c>
      <c r="B4" s="21">
        <v>44014.727539334934</v>
      </c>
      <c r="C4">
        <v>36</v>
      </c>
      <c r="D4">
        <v>3</v>
      </c>
    </row>
    <row r="5" spans="1:4" x14ac:dyDescent="0.3">
      <c r="A5" t="s">
        <v>8</v>
      </c>
      <c r="B5" s="21">
        <v>44015.750249918048</v>
      </c>
      <c r="C5">
        <v>71</v>
      </c>
      <c r="D5">
        <v>2</v>
      </c>
    </row>
    <row r="6" spans="1:4" x14ac:dyDescent="0.3">
      <c r="A6" t="s">
        <v>6</v>
      </c>
      <c r="B6" s="21">
        <v>44016.424779916619</v>
      </c>
      <c r="C6">
        <v>23</v>
      </c>
      <c r="D6">
        <v>3</v>
      </c>
    </row>
    <row r="7" spans="1:4" x14ac:dyDescent="0.3">
      <c r="A7" t="s">
        <v>7</v>
      </c>
      <c r="B7" s="21">
        <v>44018.130324607344</v>
      </c>
      <c r="C7">
        <v>46</v>
      </c>
      <c r="D7">
        <v>3</v>
      </c>
    </row>
    <row r="8" spans="1:4" x14ac:dyDescent="0.3">
      <c r="A8" t="s">
        <v>6</v>
      </c>
      <c r="B8" s="21">
        <v>44018.351650385477</v>
      </c>
      <c r="C8">
        <v>35</v>
      </c>
      <c r="D8">
        <v>3</v>
      </c>
    </row>
    <row r="9" spans="1:4" x14ac:dyDescent="0.3">
      <c r="A9" t="s">
        <v>4</v>
      </c>
      <c r="B9" s="21">
        <v>44019.30126058578</v>
      </c>
      <c r="C9">
        <v>18</v>
      </c>
      <c r="D9">
        <v>1</v>
      </c>
    </row>
    <row r="10" spans="1:4" x14ac:dyDescent="0.3">
      <c r="A10" t="s">
        <v>7</v>
      </c>
      <c r="B10" s="21">
        <v>44023.141985118869</v>
      </c>
      <c r="C10">
        <v>9</v>
      </c>
      <c r="D10">
        <v>2</v>
      </c>
    </row>
    <row r="11" spans="1:4" x14ac:dyDescent="0.3">
      <c r="A11" t="s">
        <v>8</v>
      </c>
      <c r="B11" s="21">
        <v>44024.283503600222</v>
      </c>
      <c r="C11">
        <v>41</v>
      </c>
      <c r="D11">
        <v>3</v>
      </c>
    </row>
    <row r="12" spans="1:4" x14ac:dyDescent="0.3">
      <c r="A12" t="s">
        <v>5</v>
      </c>
      <c r="B12" s="21">
        <v>44025.812112474014</v>
      </c>
      <c r="C12">
        <v>2</v>
      </c>
      <c r="D12">
        <v>1</v>
      </c>
    </row>
    <row r="13" spans="1:4" x14ac:dyDescent="0.3">
      <c r="A13" t="s">
        <v>4</v>
      </c>
      <c r="B13" s="21">
        <v>44025.816915379226</v>
      </c>
      <c r="C13">
        <v>15</v>
      </c>
      <c r="D13">
        <v>1</v>
      </c>
    </row>
    <row r="14" spans="1:4" x14ac:dyDescent="0.3">
      <c r="A14" t="s">
        <v>3</v>
      </c>
      <c r="B14" s="21">
        <v>44025.993782231424</v>
      </c>
      <c r="C14">
        <v>6</v>
      </c>
      <c r="D14">
        <v>1</v>
      </c>
    </row>
    <row r="15" spans="1:4" x14ac:dyDescent="0.3">
      <c r="A15" t="s">
        <v>5</v>
      </c>
      <c r="B15" s="21">
        <v>44026.249139125532</v>
      </c>
      <c r="C15">
        <v>22</v>
      </c>
      <c r="D15">
        <v>2</v>
      </c>
    </row>
    <row r="16" spans="1:4" x14ac:dyDescent="0.3">
      <c r="A16" t="s">
        <v>6</v>
      </c>
      <c r="B16" s="21">
        <v>44026.345087570502</v>
      </c>
      <c r="C16">
        <v>15</v>
      </c>
      <c r="D16">
        <v>3</v>
      </c>
    </row>
    <row r="17" spans="1:4" x14ac:dyDescent="0.3">
      <c r="A17" t="s">
        <v>6</v>
      </c>
      <c r="B17" s="21">
        <v>44029.07606533591</v>
      </c>
      <c r="C17">
        <v>26</v>
      </c>
      <c r="D17">
        <v>2</v>
      </c>
    </row>
    <row r="18" spans="1:4" x14ac:dyDescent="0.3">
      <c r="A18" t="s">
        <v>5</v>
      </c>
      <c r="B18" s="21">
        <v>44033.19548663871</v>
      </c>
      <c r="C18">
        <v>24</v>
      </c>
      <c r="D18">
        <v>3</v>
      </c>
    </row>
    <row r="19" spans="1:4" x14ac:dyDescent="0.3">
      <c r="A19" t="s">
        <v>4</v>
      </c>
      <c r="B19" s="21">
        <v>44033.281651316393</v>
      </c>
      <c r="C19">
        <v>34</v>
      </c>
      <c r="D19">
        <v>3</v>
      </c>
    </row>
    <row r="20" spans="1:4" x14ac:dyDescent="0.3">
      <c r="A20" t="s">
        <v>3</v>
      </c>
      <c r="B20" s="21">
        <v>44033.9985449507</v>
      </c>
      <c r="C20">
        <v>35</v>
      </c>
      <c r="D20">
        <v>2</v>
      </c>
    </row>
    <row r="21" spans="1:4" x14ac:dyDescent="0.3">
      <c r="A21" t="s">
        <v>7</v>
      </c>
      <c r="B21" s="21">
        <v>44035.263713973683</v>
      </c>
      <c r="C21">
        <v>48</v>
      </c>
      <c r="D21">
        <v>3</v>
      </c>
    </row>
    <row r="22" spans="1:4" x14ac:dyDescent="0.3">
      <c r="A22" t="s">
        <v>5</v>
      </c>
      <c r="B22" s="21">
        <v>44036.248151746855</v>
      </c>
      <c r="C22">
        <v>24</v>
      </c>
      <c r="D22">
        <v>2</v>
      </c>
    </row>
    <row r="23" spans="1:4" x14ac:dyDescent="0.3">
      <c r="A23" t="s">
        <v>3</v>
      </c>
      <c r="B23" s="21">
        <v>44040.239234248307</v>
      </c>
      <c r="C23">
        <v>24</v>
      </c>
      <c r="D23">
        <v>3</v>
      </c>
    </row>
    <row r="24" spans="1:4" x14ac:dyDescent="0.3">
      <c r="A24" t="s">
        <v>3</v>
      </c>
      <c r="B24" s="21">
        <v>44040.777621756286</v>
      </c>
      <c r="C24">
        <v>23</v>
      </c>
      <c r="D24">
        <v>2</v>
      </c>
    </row>
    <row r="25" spans="1:4" x14ac:dyDescent="0.3">
      <c r="A25" t="s">
        <v>8</v>
      </c>
      <c r="B25" s="21">
        <v>44040.860110426351</v>
      </c>
      <c r="C25">
        <v>13</v>
      </c>
      <c r="D25">
        <v>2</v>
      </c>
    </row>
    <row r="26" spans="1:4" x14ac:dyDescent="0.3">
      <c r="A26" t="s">
        <v>5</v>
      </c>
      <c r="B26" s="21">
        <v>44042.202777777777</v>
      </c>
      <c r="C26">
        <v>32</v>
      </c>
      <c r="D26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DataValidationCheck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Balson</cp:lastModifiedBy>
  <dcterms:created xsi:type="dcterms:W3CDTF">2020-02-16T19:28:11Z</dcterms:created>
  <dcterms:modified xsi:type="dcterms:W3CDTF">2022-01-10T19:05:03Z</dcterms:modified>
</cp:coreProperties>
</file>